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6" windowHeight="7356" activeTab="1"/>
  </bookViews>
  <sheets>
    <sheet name="Ventas" sheetId="12" r:id="rId1"/>
    <sheet name="Presupuestos presentados" sheetId="6" r:id="rId2"/>
  </sheets>
  <calcPr calcId="124519"/>
</workbook>
</file>

<file path=xl/calcChain.xml><?xml version="1.0" encoding="utf-8"?>
<calcChain xmlns="http://schemas.openxmlformats.org/spreadsheetml/2006/main">
  <c r="Q8" i="6"/>
  <c r="J8" l="1"/>
  <c r="P8" s="1"/>
  <c r="J7"/>
  <c r="P7" s="1"/>
  <c r="P6"/>
  <c r="J5"/>
  <c r="P5" s="1"/>
  <c r="P4"/>
  <c r="J4"/>
  <c r="J3"/>
  <c r="P3" s="1"/>
  <c r="J2"/>
  <c r="P2" s="1"/>
</calcChain>
</file>

<file path=xl/sharedStrings.xml><?xml version="1.0" encoding="utf-8"?>
<sst xmlns="http://schemas.openxmlformats.org/spreadsheetml/2006/main" count="105" uniqueCount="74">
  <si>
    <t>Fecha</t>
  </si>
  <si>
    <t>Centro de Costo</t>
  </si>
  <si>
    <t>Empresa</t>
  </si>
  <si>
    <t>Nombre Proyecto</t>
  </si>
  <si>
    <t>Orden de Pedido</t>
  </si>
  <si>
    <t>Fecha de OC</t>
  </si>
  <si>
    <t>Fecha estimada de culminación</t>
  </si>
  <si>
    <t>Estado del proyecto en días</t>
  </si>
  <si>
    <t>Fecha de culminación real</t>
  </si>
  <si>
    <t>Monto</t>
  </si>
  <si>
    <t>U$D</t>
  </si>
  <si>
    <t>Estado</t>
  </si>
  <si>
    <t>Enviado a facturar</t>
  </si>
  <si>
    <t>Nº de Factura</t>
  </si>
  <si>
    <t>% Facturación</t>
  </si>
  <si>
    <t>Saldo [$]</t>
  </si>
  <si>
    <t>TRIELEC S.A.</t>
  </si>
  <si>
    <t>Módulos Flex I/O</t>
  </si>
  <si>
    <t>OC39452</t>
  </si>
  <si>
    <t>Aprobado</t>
  </si>
  <si>
    <t>1198 - 1345</t>
  </si>
  <si>
    <t>VICUNHA ARGENTINA S.A.</t>
  </si>
  <si>
    <t>Torreta de señalización Modular AB 855 (Base / Baliza Led Roja 24Vcc / Sirena 24Vcc )</t>
  </si>
  <si>
    <t>OC33419</t>
  </si>
  <si>
    <t>2 Cuadro de válvula de 12 estaciones con 24 EV  3/4</t>
  </si>
  <si>
    <t>OC33988</t>
  </si>
  <si>
    <t>Cable de instrumentación 4x18AWG</t>
  </si>
  <si>
    <t>OC33808</t>
  </si>
  <si>
    <t>1342 - 1376</t>
  </si>
  <si>
    <t>Saint-gobain S.A.</t>
  </si>
  <si>
    <t>SIMATIC S7-1500 CONECTOR FRONTAL PARA MÓDULOS I/O 6ES7592-1AM00-0XB0</t>
  </si>
  <si>
    <t>OC4500269311</t>
  </si>
  <si>
    <t xml:space="preserve">Montaje Eléctrico, Programación y Control RECIRCULADO STUCCO </t>
  </si>
  <si>
    <t>OC4500241055</t>
  </si>
  <si>
    <t>$AR</t>
  </si>
  <si>
    <t>1154- 1179 - 1232 - 1266</t>
  </si>
  <si>
    <t>OC4500241056</t>
  </si>
  <si>
    <t>1153 - 1178 - 1389</t>
  </si>
  <si>
    <t>Horas ponderadas</t>
  </si>
  <si>
    <t>COD_CLI</t>
  </si>
  <si>
    <t>RAZON_SOCI</t>
  </si>
  <si>
    <t>N_REMITO</t>
  </si>
  <si>
    <t>T_COMP</t>
  </si>
  <si>
    <t>N_COMP</t>
  </si>
  <si>
    <t>FECHA_EMI</t>
  </si>
  <si>
    <t>COND_VTA</t>
  </si>
  <si>
    <t>PORC_DESC</t>
  </si>
  <si>
    <t>COTIZ</t>
  </si>
  <si>
    <t>MONEDA</t>
  </si>
  <si>
    <t>TOTAL_COMP</t>
  </si>
  <si>
    <t>COD_TRANSP</t>
  </si>
  <si>
    <t>NOM_TRANSP</t>
  </si>
  <si>
    <t>COD_ARTICU</t>
  </si>
  <si>
    <t>DESCRIPCIO</t>
  </si>
  <si>
    <t>COD_DEP</t>
  </si>
  <si>
    <t>UM</t>
  </si>
  <si>
    <t>CANTIDAD</t>
  </si>
  <si>
    <t>PRECIO</t>
  </si>
  <si>
    <t>TOT_S_IMP</t>
  </si>
  <si>
    <t>N_COMP_REM</t>
  </si>
  <si>
    <t>CANT_REM</t>
  </si>
  <si>
    <t>FECHA_REM</t>
  </si>
  <si>
    <t>000001</t>
  </si>
  <si>
    <t>TRIELEC S A</t>
  </si>
  <si>
    <t/>
  </si>
  <si>
    <t>FAC</t>
  </si>
  <si>
    <t>A0000200001198</t>
  </si>
  <si>
    <t>CTE</t>
  </si>
  <si>
    <t>01</t>
  </si>
  <si>
    <t>PROPIO</t>
  </si>
  <si>
    <t>VTA-V385-MAT</t>
  </si>
  <si>
    <t>OC 39452 MATERIALES</t>
  </si>
  <si>
    <t>UN</t>
  </si>
  <si>
    <t>A0000300001345</t>
  </si>
</sst>
</file>

<file path=xl/styles.xml><?xml version="1.0" encoding="utf-8"?>
<styleSheet xmlns="http://schemas.openxmlformats.org/spreadsheetml/2006/main">
  <numFmts count="3">
    <numFmt numFmtId="164" formatCode="&quot;S&quot;000"/>
    <numFmt numFmtId="165" formatCode="&quot;V&quot;000"/>
    <numFmt numFmtId="168" formatCode="dd/mm/yyyy"/>
  </numFmts>
  <fonts count="4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1" fillId="5" borderId="3" xfId="0" applyNumberFormat="1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14" fontId="0" fillId="0" borderId="4" xfId="0" applyNumberFormat="1" applyBorder="1" applyAlignment="1">
      <alignment horizontal="center" vertical="center"/>
    </xf>
    <xf numFmtId="0" fontId="0" fillId="0" borderId="4" xfId="0" applyNumberFormat="1" applyBorder="1"/>
    <xf numFmtId="0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NumberFormat="1" applyBorder="1" applyAlignment="1">
      <alignment horizontal="left"/>
    </xf>
    <xf numFmtId="9" fontId="0" fillId="0" borderId="4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3" fillId="0" borderId="0" xfId="0" quotePrefix="1" applyFont="1"/>
    <xf numFmtId="0" fontId="0" fillId="0" borderId="0" xfId="0" quotePrefix="1"/>
    <xf numFmtId="168" fontId="0" fillId="0" borderId="0" xfId="0" applyNumberFormat="1"/>
    <xf numFmtId="1" fontId="0" fillId="0" borderId="0" xfId="0" applyNumberFormat="1"/>
    <xf numFmtId="2" fontId="0" fillId="0" borderId="0" xfId="0" applyNumberFormat="1"/>
    <xf numFmtId="164" fontId="1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theme="5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>
      <selection activeCell="G24" sqref="G24"/>
    </sheetView>
  </sheetViews>
  <sheetFormatPr baseColWidth="10" defaultRowHeight="14.4"/>
  <cols>
    <col min="2" max="2" width="13.5546875" bestFit="1" customWidth="1"/>
    <col min="5" max="5" width="15.33203125" bestFit="1" customWidth="1"/>
    <col min="14" max="14" width="14.33203125" bestFit="1" customWidth="1"/>
    <col min="15" max="15" width="20.44140625" bestFit="1" customWidth="1"/>
    <col min="20" max="20" width="12.109375" bestFit="1" customWidth="1"/>
  </cols>
  <sheetData>
    <row r="1" spans="1:23" ht="15.6">
      <c r="A1" s="34" t="s">
        <v>39</v>
      </c>
      <c r="B1" s="34" t="s">
        <v>40</v>
      </c>
      <c r="C1" s="34" t="s">
        <v>41</v>
      </c>
      <c r="D1" s="34" t="s">
        <v>42</v>
      </c>
      <c r="E1" s="34" t="s">
        <v>43</v>
      </c>
      <c r="F1" s="34" t="s">
        <v>44</v>
      </c>
      <c r="G1" s="34" t="s">
        <v>45</v>
      </c>
      <c r="H1" s="34" t="s">
        <v>46</v>
      </c>
      <c r="I1" s="34" t="s">
        <v>47</v>
      </c>
      <c r="J1" s="34" t="s">
        <v>48</v>
      </c>
      <c r="K1" s="34" t="s">
        <v>49</v>
      </c>
      <c r="L1" s="34" t="s">
        <v>50</v>
      </c>
      <c r="M1" s="34" t="s">
        <v>51</v>
      </c>
      <c r="N1" s="34" t="s">
        <v>52</v>
      </c>
      <c r="O1" s="34" t="s">
        <v>53</v>
      </c>
      <c r="P1" s="34" t="s">
        <v>54</v>
      </c>
      <c r="Q1" s="34" t="s">
        <v>55</v>
      </c>
      <c r="R1" s="34" t="s">
        <v>56</v>
      </c>
      <c r="S1" s="34" t="s">
        <v>57</v>
      </c>
      <c r="T1" s="34" t="s">
        <v>58</v>
      </c>
      <c r="U1" s="34" t="s">
        <v>59</v>
      </c>
      <c r="V1" s="34" t="s">
        <v>60</v>
      </c>
      <c r="W1" s="34" t="s">
        <v>61</v>
      </c>
    </row>
    <row r="2" spans="1:23">
      <c r="A2" s="35" t="s">
        <v>62</v>
      </c>
      <c r="B2" s="35" t="s">
        <v>63</v>
      </c>
      <c r="C2" s="35" t="s">
        <v>64</v>
      </c>
      <c r="D2" s="35" t="s">
        <v>65</v>
      </c>
      <c r="E2" s="35" t="s">
        <v>66</v>
      </c>
      <c r="F2" s="36">
        <v>45068</v>
      </c>
      <c r="G2" s="37">
        <v>1</v>
      </c>
      <c r="H2" s="38">
        <v>0</v>
      </c>
      <c r="I2" s="38">
        <v>1</v>
      </c>
      <c r="J2" s="35" t="s">
        <v>67</v>
      </c>
      <c r="K2" s="38">
        <v>860056.89</v>
      </c>
      <c r="L2" s="35" t="s">
        <v>68</v>
      </c>
      <c r="M2" s="35" t="s">
        <v>69</v>
      </c>
      <c r="N2" s="35" t="s">
        <v>70</v>
      </c>
      <c r="O2" s="35" t="s">
        <v>71</v>
      </c>
      <c r="P2" s="35" t="s">
        <v>68</v>
      </c>
      <c r="Q2" s="35" t="s">
        <v>72</v>
      </c>
      <c r="R2" s="38">
        <v>78.37</v>
      </c>
      <c r="S2" s="38">
        <v>9069.68</v>
      </c>
      <c r="T2" s="38">
        <v>710790.82</v>
      </c>
      <c r="U2" s="35" t="s">
        <v>64</v>
      </c>
      <c r="V2" s="38">
        <v>0</v>
      </c>
      <c r="W2" s="36"/>
    </row>
    <row r="3" spans="1:23">
      <c r="A3" s="35" t="s">
        <v>62</v>
      </c>
      <c r="B3" s="35" t="s">
        <v>63</v>
      </c>
      <c r="C3" s="35" t="s">
        <v>64</v>
      </c>
      <c r="D3" s="35" t="s">
        <v>65</v>
      </c>
      <c r="E3" s="35" t="s">
        <v>73</v>
      </c>
      <c r="F3" s="36">
        <v>45314</v>
      </c>
      <c r="G3" s="37">
        <v>1</v>
      </c>
      <c r="H3" s="38">
        <v>0</v>
      </c>
      <c r="I3" s="38">
        <v>1</v>
      </c>
      <c r="J3" s="35" t="s">
        <v>67</v>
      </c>
      <c r="K3" s="38">
        <v>1525667.12</v>
      </c>
      <c r="L3" s="35" t="s">
        <v>68</v>
      </c>
      <c r="M3" s="35" t="s">
        <v>69</v>
      </c>
      <c r="N3" s="35" t="s">
        <v>70</v>
      </c>
      <c r="O3" s="35" t="s">
        <v>71</v>
      </c>
      <c r="P3" s="35" t="s">
        <v>68</v>
      </c>
      <c r="Q3" s="35" t="s">
        <v>72</v>
      </c>
      <c r="R3" s="38">
        <v>21.63</v>
      </c>
      <c r="S3" s="38">
        <v>58293.2</v>
      </c>
      <c r="T3" s="38">
        <v>1260881.9199999999</v>
      </c>
      <c r="U3" s="35" t="s">
        <v>64</v>
      </c>
      <c r="V3" s="38">
        <v>0</v>
      </c>
      <c r="W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tabSelected="1" topLeftCell="D1" workbookViewId="0">
      <selection activeCell="K17" sqref="K17"/>
    </sheetView>
  </sheetViews>
  <sheetFormatPr baseColWidth="10" defaultRowHeight="14.4"/>
  <cols>
    <col min="1" max="1" width="11.109375" bestFit="1" customWidth="1"/>
    <col min="2" max="2" width="24.33203125" bestFit="1" customWidth="1"/>
    <col min="3" max="3" width="76.5546875" bestFit="1" customWidth="1"/>
    <col min="5" max="5" width="18.44140625" bestFit="1" customWidth="1"/>
    <col min="6" max="6" width="14.109375" bestFit="1" customWidth="1"/>
    <col min="7" max="7" width="14.88671875" customWidth="1"/>
    <col min="8" max="8" width="14.33203125" customWidth="1"/>
    <col min="9" max="9" width="15" customWidth="1"/>
    <col min="17" max="17" width="19.6640625" bestFit="1" customWidth="1"/>
  </cols>
  <sheetData>
    <row r="1" spans="1:17" ht="40.200000000000003" thickBot="1">
      <c r="A1" s="2" t="s">
        <v>1</v>
      </c>
      <c r="B1" s="3" t="s">
        <v>2</v>
      </c>
      <c r="C1" s="4" t="s">
        <v>3</v>
      </c>
      <c r="D1" s="3" t="s">
        <v>0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3" t="s">
        <v>9</v>
      </c>
      <c r="K1" s="3" t="s">
        <v>10</v>
      </c>
      <c r="L1" s="3" t="s">
        <v>11</v>
      </c>
      <c r="M1" s="9" t="s">
        <v>12</v>
      </c>
      <c r="N1" s="5" t="s">
        <v>13</v>
      </c>
      <c r="O1" s="3" t="s">
        <v>14</v>
      </c>
      <c r="P1" s="3" t="s">
        <v>15</v>
      </c>
      <c r="Q1" s="39" t="s">
        <v>38</v>
      </c>
    </row>
    <row r="2" spans="1:17">
      <c r="A2" s="10">
        <v>385</v>
      </c>
      <c r="B2" s="11" t="s">
        <v>16</v>
      </c>
      <c r="C2" s="12" t="s">
        <v>17</v>
      </c>
      <c r="D2" s="13">
        <v>45012</v>
      </c>
      <c r="E2" s="14" t="s">
        <v>18</v>
      </c>
      <c r="F2" s="15"/>
      <c r="G2" s="13"/>
      <c r="H2" s="16"/>
      <c r="I2" s="15"/>
      <c r="J2" s="17">
        <f>3896.78</f>
        <v>3896.78</v>
      </c>
      <c r="K2" s="18" t="s">
        <v>10</v>
      </c>
      <c r="L2" s="19" t="s">
        <v>19</v>
      </c>
      <c r="M2" s="20"/>
      <c r="N2" s="20" t="s">
        <v>20</v>
      </c>
      <c r="O2" s="21">
        <v>1</v>
      </c>
      <c r="P2" s="12">
        <f t="shared" ref="P2:P8" si="0">(1-O2)*J2</f>
        <v>0</v>
      </c>
      <c r="Q2">
        <v>150</v>
      </c>
    </row>
    <row r="3" spans="1:17">
      <c r="A3" s="22">
        <v>406</v>
      </c>
      <c r="B3" s="1" t="s">
        <v>21</v>
      </c>
      <c r="C3" s="23" t="s">
        <v>22</v>
      </c>
      <c r="D3" s="24">
        <v>45176</v>
      </c>
      <c r="E3" s="25" t="s">
        <v>23</v>
      </c>
      <c r="F3" s="26"/>
      <c r="G3" s="24"/>
      <c r="H3" s="16"/>
      <c r="I3" s="26"/>
      <c r="J3" s="27">
        <f>944.72</f>
        <v>944.72</v>
      </c>
      <c r="K3" s="28" t="s">
        <v>10</v>
      </c>
      <c r="L3" s="29" t="s">
        <v>19</v>
      </c>
      <c r="M3" s="30"/>
      <c r="N3" s="30">
        <v>1409</v>
      </c>
      <c r="O3" s="31">
        <v>1</v>
      </c>
      <c r="P3" s="12">
        <f t="shared" si="0"/>
        <v>0</v>
      </c>
      <c r="Q3">
        <v>152</v>
      </c>
    </row>
    <row r="4" spans="1:17">
      <c r="A4" s="22">
        <v>412</v>
      </c>
      <c r="B4" s="1" t="s">
        <v>21</v>
      </c>
      <c r="C4" s="23" t="s">
        <v>24</v>
      </c>
      <c r="D4" s="24">
        <v>45229</v>
      </c>
      <c r="E4" s="25" t="s">
        <v>25</v>
      </c>
      <c r="F4" s="26"/>
      <c r="G4" s="26"/>
      <c r="H4" s="16"/>
      <c r="I4" s="26"/>
      <c r="J4" s="27">
        <f>1925*2</f>
        <v>3850</v>
      </c>
      <c r="K4" s="28" t="s">
        <v>10</v>
      </c>
      <c r="L4" s="29" t="s">
        <v>19</v>
      </c>
      <c r="M4" s="30"/>
      <c r="N4" s="30"/>
      <c r="O4" s="31">
        <v>1</v>
      </c>
      <c r="P4" s="12">
        <f t="shared" si="0"/>
        <v>0</v>
      </c>
      <c r="Q4">
        <v>502</v>
      </c>
    </row>
    <row r="5" spans="1:17">
      <c r="A5" s="22">
        <v>417</v>
      </c>
      <c r="B5" s="1" t="s">
        <v>21</v>
      </c>
      <c r="C5" s="23" t="s">
        <v>26</v>
      </c>
      <c r="D5" s="24">
        <v>45243</v>
      </c>
      <c r="E5" s="25" t="s">
        <v>27</v>
      </c>
      <c r="F5" s="26"/>
      <c r="G5" s="26"/>
      <c r="H5" s="16"/>
      <c r="I5" s="26"/>
      <c r="J5" s="27">
        <f>4020</f>
        <v>4020</v>
      </c>
      <c r="K5" s="28" t="s">
        <v>10</v>
      </c>
      <c r="L5" s="29" t="s">
        <v>19</v>
      </c>
      <c r="M5" s="30"/>
      <c r="N5" s="30" t="s">
        <v>28</v>
      </c>
      <c r="O5" s="31">
        <v>1</v>
      </c>
      <c r="P5" s="12">
        <f t="shared" si="0"/>
        <v>0</v>
      </c>
      <c r="Q5">
        <v>640</v>
      </c>
    </row>
    <row r="6" spans="1:17">
      <c r="A6" s="22">
        <v>419</v>
      </c>
      <c r="B6" s="1" t="s">
        <v>29</v>
      </c>
      <c r="C6" s="23" t="s">
        <v>30</v>
      </c>
      <c r="D6" s="24">
        <v>45271</v>
      </c>
      <c r="E6" s="25" t="s">
        <v>31</v>
      </c>
      <c r="F6" s="26"/>
      <c r="G6" s="26"/>
      <c r="H6" s="16"/>
      <c r="I6" s="26"/>
      <c r="J6" s="27">
        <v>1682</v>
      </c>
      <c r="K6" s="28" t="s">
        <v>10</v>
      </c>
      <c r="L6" s="29" t="s">
        <v>19</v>
      </c>
      <c r="M6" s="30"/>
      <c r="N6" s="30">
        <v>1324</v>
      </c>
      <c r="O6" s="31">
        <v>1</v>
      </c>
      <c r="P6" s="12">
        <f t="shared" si="0"/>
        <v>0</v>
      </c>
      <c r="Q6">
        <v>12</v>
      </c>
    </row>
    <row r="7" spans="1:17">
      <c r="A7" s="32">
        <v>2989</v>
      </c>
      <c r="B7" s="1" t="s">
        <v>29</v>
      </c>
      <c r="C7" s="23" t="s">
        <v>32</v>
      </c>
      <c r="D7" s="33">
        <v>44918</v>
      </c>
      <c r="E7" s="25" t="s">
        <v>33</v>
      </c>
      <c r="F7" s="26"/>
      <c r="G7" s="26"/>
      <c r="H7" s="16"/>
      <c r="I7" s="26"/>
      <c r="J7" s="23">
        <f>4065869</f>
        <v>4065869</v>
      </c>
      <c r="K7" s="28" t="s">
        <v>34</v>
      </c>
      <c r="L7" s="29" t="s">
        <v>19</v>
      </c>
      <c r="M7" s="30"/>
      <c r="N7" s="30" t="s">
        <v>35</v>
      </c>
      <c r="O7" s="31">
        <v>1</v>
      </c>
      <c r="P7" s="12">
        <f t="shared" si="0"/>
        <v>0</v>
      </c>
      <c r="Q7">
        <v>341</v>
      </c>
    </row>
    <row r="8" spans="1:17">
      <c r="A8" s="32">
        <v>2989</v>
      </c>
      <c r="B8" s="1" t="s">
        <v>29</v>
      </c>
      <c r="C8" s="23" t="s">
        <v>32</v>
      </c>
      <c r="D8" s="33">
        <v>44918</v>
      </c>
      <c r="E8" s="25" t="s">
        <v>36</v>
      </c>
      <c r="F8" s="26"/>
      <c r="G8" s="26"/>
      <c r="H8" s="16"/>
      <c r="I8" s="26"/>
      <c r="J8" s="23">
        <f>26138</f>
        <v>26138</v>
      </c>
      <c r="K8" s="28" t="s">
        <v>10</v>
      </c>
      <c r="L8" s="29" t="s">
        <v>19</v>
      </c>
      <c r="M8" s="30"/>
      <c r="N8" s="30" t="s">
        <v>37</v>
      </c>
      <c r="O8" s="31">
        <v>1</v>
      </c>
      <c r="P8" s="12">
        <f t="shared" si="0"/>
        <v>0</v>
      </c>
      <c r="Q8">
        <f>12*6</f>
        <v>72</v>
      </c>
    </row>
  </sheetData>
  <conditionalFormatting sqref="H2:I2 I3:I8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H2">
    <cfRule type="expression" dxfId="3" priority="4">
      <formula>S2="SI"</formula>
    </cfRule>
  </conditionalFormatting>
  <conditionalFormatting sqref="H3:H8">
    <cfRule type="cellIs" dxfId="2" priority="2" operator="greaterThan">
      <formula>0</formula>
    </cfRule>
    <cfRule type="cellIs" dxfId="1" priority="3" operator="lessThan">
      <formula>0</formula>
    </cfRule>
  </conditionalFormatting>
  <conditionalFormatting sqref="H3:H8">
    <cfRule type="expression" dxfId="0" priority="1">
      <formula>S3="SI"</formula>
    </cfRule>
  </conditionalFormatting>
  <dataValidations count="2">
    <dataValidation type="list" allowBlank="1" showInputMessage="1" showErrorMessage="1" sqref="K1:K8">
      <formula1>$BI$3:$BI$4</formula1>
    </dataValidation>
    <dataValidation type="list" allowBlank="1" showInputMessage="1" showErrorMessage="1" sqref="L2:L8">
      <formula1>$BF$3:$BF$7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Presupuestos presentados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2026-01-13T22:53:25Z</dcterms:modified>
</cp:coreProperties>
</file>